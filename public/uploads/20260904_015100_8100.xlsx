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<sst xmlns="http://schemas.openxmlformats.org/spreadsheetml/2006/main" count="108" uniqueCount="98">
  <si>
    <t>电梯常规四项B级安装许可证—预算单</t>
  </si>
  <si>
    <t>费用大类</t>
  </si>
  <si>
    <t>明细项目</t>
  </si>
  <si>
    <t>项目说明</t>
  </si>
  <si>
    <t>全权委托第三方（元）</t>
  </si>
  <si>
    <t>自持人员自主办理（元）</t>
  </si>
  <si>
    <t>备注说明</t>
  </si>
  <si>
    <t>全权委托第三方</t>
  </si>
  <si>
    <t>自持人员</t>
  </si>
  <si>
    <t>一、初期一次性投入</t>
  </si>
  <si>
    <t>营业执照 + 刻章 + 开户</t>
  </si>
  <si>
    <t>山东冠名，注册资金不低于 150 万元</t>
  </si>
  <si>
    <t>资质办理必备主体资质，两种方案均需企业承担</t>
  </si>
  <si>
    <t>项目</t>
  </si>
  <si>
    <t>说明</t>
  </si>
  <si>
    <t>金额（元）</t>
  </si>
  <si>
    <t>备注</t>
  </si>
  <si>
    <t>场地租赁及整改</t>
  </si>
  <si>
    <t>100㎡左右办公室 + 80㎡左右仓库，含仓库整改</t>
  </si>
  <si>
    <t>需提供办公与仓库产权证；租赁的需提供 5 年以上有效期租赁协议及对方产权证</t>
  </si>
  <si>
    <t xml:space="preserve">初期一次性投入
</t>
  </si>
  <si>
    <t>营业执照+刻章+开户</t>
  </si>
  <si>
    <t>山东冠名（注册资金不低于150W）</t>
  </si>
  <si>
    <t>维保设备采购</t>
  </si>
  <si>
    <t>资质要求的全套施工及维保设备</t>
  </si>
  <si>
    <t>资质评审必备硬件，两种方案均需企业配齐</t>
  </si>
  <si>
    <t>场地租赁</t>
  </si>
  <si>
    <t>提供 100平米左右办公室， 80平米左右仓库（含仓库整改）</t>
  </si>
  <si>
    <t>并提供办公与仓库产权证
（租赁时提供 5 年以上有效期的租赁协议及对方产权证</t>
  </si>
  <si>
    <t>设备计量检定</t>
  </si>
  <si>
    <t>全套检测设备的法定计量校准检定</t>
  </si>
  <si>
    <t>需出具检定 / 校准合格报告，为评审必备资料</t>
  </si>
  <si>
    <t>初期投入小计</t>
  </si>
  <si>
    <t>-</t>
  </si>
  <si>
    <t>两种方案基础固定投入完全一致</t>
  </si>
  <si>
    <t>二、资质准备阶段费用</t>
  </si>
  <si>
    <t>咨询公司代理费</t>
  </si>
  <si>
    <t>申报指导、资料编制、评审对接全流程咨询服务</t>
  </si>
  <si>
    <t>含网上申报、评审约请、质保体系文件编制、场地整改指导</t>
  </si>
  <si>
    <t>初期一次性投入3万元</t>
  </si>
  <si>
    <t>持证人员外聘费用</t>
  </si>
  <si>
    <t>6 名技术人员 + 13 名持证作业人员，含证书使用费</t>
  </si>
  <si>
    <t>1. 技术人员 6 人：机械 / 电气相关专业，3 名工程师 + 3 名助理工程师，需参与现场评审</t>
  </si>
  <si>
    <t>资质准备</t>
  </si>
  <si>
    <t>1、咨询公司（代理费）</t>
  </si>
  <si>
    <t>咨询费（代理费）</t>
  </si>
  <si>
    <t>2. 作业人员 13 人：市监局颁发电梯 T 证，含 3 名质检、8 名普通作业、2 名满 6 年作业人员</t>
  </si>
  <si>
    <r>
      <rPr>
        <b/>
        <sz val="11"/>
        <color theme="1"/>
        <rFont val="微软雅黑"/>
        <charset val="134"/>
      </rPr>
      <t>2、持证人员外聘费用
（含</t>
    </r>
    <r>
      <rPr>
        <b/>
        <sz val="11"/>
        <color rgb="FFFF0000"/>
        <rFont val="微软雅黑"/>
        <charset val="134"/>
      </rPr>
      <t>证书使用费、参与现场评审的误工费</t>
    </r>
    <r>
      <rPr>
        <b/>
        <sz val="11"/>
        <color theme="1"/>
        <rFont val="微软雅黑"/>
        <charset val="134"/>
      </rPr>
      <t>）</t>
    </r>
  </si>
  <si>
    <t>技术人员6人</t>
  </si>
  <si>
    <r>
      <t>参与现场评审</t>
    </r>
    <r>
      <rPr>
        <sz val="11"/>
        <color theme="1"/>
        <rFont val="微软雅黑"/>
        <charset val="134"/>
      </rPr>
      <t xml:space="preserve"> 机械、电气类相关专业，3 个工程师、 3 个助理工程师</t>
    </r>
  </si>
  <si>
    <t>试安装工程费用</t>
  </si>
  <si>
    <t>客梯、货梯四种类型样梯试安装业绩全套资料</t>
  </si>
  <si>
    <t>含有资质厂家配合、试验塔试安装、授权合同、安装资料、自检报告、视频等全套评审资料</t>
  </si>
  <si>
    <t>持证作业人员 13人</t>
  </si>
  <si>
    <r>
      <t xml:space="preserve">不参与现场评审 </t>
    </r>
    <r>
      <rPr>
        <sz val="11"/>
        <color theme="1"/>
        <rFont val="微软雅黑"/>
        <charset val="134"/>
      </rPr>
      <t xml:space="preserve"> 持市场监督管理局颁发电梯 T 证（质量检验人员3人，普通电梯作业人员8人，满 6 年电梯作业人员2人）</t>
    </r>
  </si>
  <si>
    <t>税费</t>
  </si>
  <si>
    <t>除咨询费外的服务税费，税点 6%</t>
  </si>
  <si>
    <t>全权委托按全项服务计税，自持方案仅按咨询服务费计税</t>
  </si>
  <si>
    <r>
      <rPr>
        <b/>
        <sz val="11"/>
        <color theme="1"/>
        <rFont val="宋体"/>
        <charset val="134"/>
        <scheme val="minor"/>
      </rPr>
      <t>4、试安装费用
（</t>
    </r>
    <r>
      <rPr>
        <b/>
        <sz val="11"/>
        <color rgb="FFFF0000"/>
        <rFont val="宋体"/>
        <charset val="134"/>
        <scheme val="minor"/>
      </rPr>
      <t>试安装工程过程我司全部解决</t>
    </r>
    <r>
      <rPr>
        <b/>
        <sz val="11"/>
        <color theme="1"/>
        <rFont val="宋体"/>
        <charset val="134"/>
        <scheme val="minor"/>
      </rPr>
      <t>）</t>
    </r>
  </si>
  <si>
    <t>试安装工程业绩
(客梯、货梯四种类型样梯)</t>
  </si>
  <si>
    <r>
      <t>有生产资质电梯厂家配合，</t>
    </r>
    <r>
      <rPr>
        <sz val="11"/>
        <rFont val="微软雅黑"/>
        <charset val="134"/>
      </rPr>
      <t>在电梯制造厂试验塔里试安装样梯， 授权合同、安装合同、 自检报告、自检记录、 视频及安装资料齐全。</t>
    </r>
  </si>
  <si>
    <t>资质准备阶段小计</t>
  </si>
  <si>
    <t>核心成本差异为人员、试安装两项费用</t>
  </si>
  <si>
    <t>5、税费</t>
  </si>
  <si>
    <t>除咨询费外税费</t>
  </si>
  <si>
    <t>税点为6%</t>
  </si>
  <si>
    <t>三、审核阶段企业自行承担费用</t>
  </si>
  <si>
    <t>评审组及监督员公关费</t>
  </si>
  <si>
    <t>现场评审专家及监管人员相关费用</t>
  </si>
  <si>
    <t>企业自行承担，咨询师全程指导对接流程，含 3-4 名评审专家 + 1-2 名监管人员</t>
  </si>
  <si>
    <t>小计</t>
  </si>
  <si>
    <t>吊车分包协议</t>
  </si>
  <si>
    <t>评审所需吊车租赁分包协议文件</t>
  </si>
  <si>
    <t>仅需提供合规协议，现场评审无需吊车到场，可提供协议模板</t>
  </si>
  <si>
    <t>审核</t>
  </si>
  <si>
    <r>
      <rPr>
        <b/>
        <sz val="11"/>
        <color theme="1"/>
        <rFont val="宋体"/>
        <charset val="134"/>
        <scheme val="minor"/>
      </rPr>
      <t xml:space="preserve">6、额外需客户自行支出费用预算
</t>
    </r>
    <r>
      <rPr>
        <b/>
        <sz val="11"/>
        <color rgb="FFFF0000"/>
        <rFont val="宋体"/>
        <charset val="134"/>
        <scheme val="minor"/>
      </rPr>
      <t>（费用不经过我司，仅供企业参考预算）</t>
    </r>
  </si>
  <si>
    <t>评审组公关费/当地监督员公关费</t>
  </si>
  <si>
    <r>
      <rPr>
        <sz val="11"/>
        <color rgb="FFFF0000"/>
        <rFont val="微软雅黑"/>
        <charset val="134"/>
      </rPr>
      <t>企业自己负责</t>
    </r>
    <r>
      <rPr>
        <sz val="11"/>
        <color theme="1"/>
        <rFont val="微软雅黑"/>
        <charset val="134"/>
      </rPr>
      <t>，国家指定评审组 3 到 4 人，监督管理局监督评审1- 2 人。什么时候送，怎么送，咨询师会指导</t>
    </r>
  </si>
  <si>
    <t>19 名持证人员社保</t>
  </si>
  <si>
    <t>评审要求的持证人员 3 个月社保缴纳</t>
  </si>
  <si>
    <t>按 1070 元 / 人 / 月预算，缴纳工伤、失业、养老 3 险，自持人员企业无需额外承担外聘人员社保</t>
  </si>
  <si>
    <r>
      <rPr>
        <sz val="11"/>
        <color rgb="FFFF0000"/>
        <rFont val="微软雅黑"/>
        <charset val="134"/>
      </rPr>
      <t>企业自己负责</t>
    </r>
    <r>
      <rPr>
        <sz val="11"/>
        <color theme="1"/>
        <rFont val="微软雅黑"/>
        <charset val="134"/>
      </rPr>
      <t>，只需要吊车协议，现场评审无需吊车在场，协议模板我司可提供做参考，企业找单位盖章。</t>
    </r>
  </si>
  <si>
    <t>食宿差旅费</t>
  </si>
  <si>
    <t>咨询师、现场评审持证人员的食宿、交通费用</t>
  </si>
  <si>
    <t>全权委托含多批次人员到场费用，自持方案仅需承担咨询师差旅费用</t>
  </si>
  <si>
    <t>19个持证人员社保</t>
  </si>
  <si>
    <r>
      <rPr>
        <sz val="11"/>
        <color rgb="FFFF0000"/>
        <rFont val="微软雅黑"/>
        <charset val="134"/>
      </rPr>
      <t>企业自己负责</t>
    </r>
    <r>
      <rPr>
        <sz val="11"/>
        <color theme="1"/>
        <rFont val="微软雅黑"/>
        <charset val="134"/>
      </rPr>
      <t>，按1070元/人/月预算，具体以当地实际最低基数缴纳，3险（工伤失业养老），企业社保账户扣款。一般取证查3月左右</t>
    </r>
  </si>
  <si>
    <t>其他细节支出</t>
  </si>
  <si>
    <t>评审配套杂项费用</t>
  </si>
  <si>
    <t>含标准购买、体系受控章、横幅、制度上墙、仓库置物架、设备物流费等</t>
  </si>
  <si>
    <t>咨询师、参与现场评审到场食宿差旅费</t>
  </si>
  <si>
    <t>审核阶段费用小计</t>
  </si>
  <si>
    <t>核心成本差异为外聘人员社保及差旅费用</t>
  </si>
  <si>
    <t>购买产品标准、刻体系受控章、做欢迎横幅、管理制度上墙、仓库置物架、设备往返物流费等</t>
  </si>
  <si>
    <t>四、总预算合计</t>
  </si>
  <si>
    <t>含税总费用</t>
  </si>
  <si>
    <t>自持人员方案较全权委托合计节省 15.89万元，节省比例 54.7%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</si>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</sst>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元&quot;"/>
  </numFmts>
  <fonts count="3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name val="微软雅黑"/>
      <charset val="134"/>
    </font>
    <font>
      <b/>
      <sz val="11"/>
      <name val="微软雅黑"/>
      <charset val="134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name val="微软雅黑"/>
      <charset val="134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b/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b/>
      <sz val="11"/>
      <color rgb="FFFF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9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top" wrapText="1"/>
    </xf>
    <xf numFmtId="49" fontId="14" fillId="0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76" fontId="15" fillId="5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topLeftCell="G1" workbookViewId="0">
      <selection activeCell="L17" sqref="L17"/>
    </sheetView>
  </sheetViews>
  <sheetFormatPr defaultColWidth="9" defaultRowHeight="13.5"/>
  <cols>
    <col min="2" max="2" width="36.375" hidden="1" customWidth="1"/>
    <col min="3" max="5" width="29" hidden="1" customWidth="1"/>
    <col min="6" max="6" width="67.875" hidden="1" customWidth="1"/>
    <col min="8" max="8" width="24.5" customWidth="1"/>
    <col min="9" max="9" width="22.875" customWidth="1"/>
    <col min="10" max="10" width="33" customWidth="1"/>
    <col min="11" max="12" width="23.75" customWidth="1"/>
    <col min="13" max="13" width="46.375" customWidth="1"/>
  </cols>
  <sheetData>
    <row r="1" s="1" customFormat="1" ht="24.75" spans="1:13">
      <c r="A1" s="2"/>
      <c r="B1" s="3" t="s">
        <v>0</v>
      </c>
      <c r="C1" s="3"/>
      <c r="D1" s="3"/>
      <c r="E1" s="3"/>
      <c r="F1" s="4"/>
      <c r="H1" s="5" t="s">
        <v>0</v>
      </c>
      <c r="I1" s="6"/>
      <c r="J1" s="6"/>
      <c r="K1" s="6"/>
      <c r="L1" s="6"/>
      <c r="M1" s="7"/>
    </row>
    <row r="2" s="1" customFormat="1" ht="37.5" spans="1:13">
      <c r="A2" s="2"/>
      <c r="B2" s="3" t="s">
        <v>0</v>
      </c>
      <c r="C2" s="3"/>
      <c r="D2" s="3"/>
      <c r="E2" s="3"/>
      <c r="F2" s="4"/>
      <c r="H2" s="8" t="s">
        <v>1</v>
      </c>
      <c r="I2" s="8" t="s">
        <v>2</v>
      </c>
      <c r="J2" s="8" t="s">
        <v>3</v>
      </c>
      <c r="K2" s="9" t="s">
        <v>4</v>
      </c>
      <c r="L2" s="9" t="s">
        <v>5</v>
      </c>
      <c r="M2" s="8" t="s">
        <v>6</v>
      </c>
    </row>
    <row r="3" s="1" customFormat="1" ht="43" customHeight="1" spans="1:13">
      <c r="A3" s="2"/>
      <c r="B3" s="3"/>
      <c r="C3" s="3"/>
      <c r="D3" s="3" t="s">
        <v>7</v>
      </c>
      <c r="E3" s="3" t="s">
        <v>8</v>
      </c>
      <c r="F3" s="4"/>
      <c r="H3" s="8" t="s">
        <v>9</v>
      </c>
      <c r="I3" s="10" t="s">
        <v>10</v>
      </c>
      <c r="J3" s="10" t="s">
        <v>11</v>
      </c>
      <c r="K3" s="11">
        <v>1000</v>
      </c>
      <c r="L3" s="12"/>
      <c r="M3" s="10" t="s">
        <v>12</v>
      </c>
    </row>
    <row r="4" s="1" customFormat="1" ht="43" customHeight="1" spans="1:13">
      <c r="A4" s="13"/>
      <c r="B4" s="14" t="s">
        <v>13</v>
      </c>
      <c r="C4" s="14" t="s">
        <v>14</v>
      </c>
      <c r="D4" s="14" t="s">
        <v>15</v>
      </c>
      <c r="E4" s="14"/>
      <c r="F4" s="14" t="s">
        <v>16</v>
      </c>
      <c r="H4" s="8"/>
      <c r="I4" s="10" t="s">
        <v>17</v>
      </c>
      <c r="J4" s="10" t="s">
        <v>18</v>
      </c>
      <c r="K4" s="11">
        <v>5000</v>
      </c>
      <c r="L4" s="12"/>
      <c r="M4" s="10" t="s">
        <v>19</v>
      </c>
    </row>
    <row r="5" s="1" customFormat="1" ht="43" customHeight="1" spans="1:13">
      <c r="A5" s="13" t="s">
        <v>20</v>
      </c>
      <c r="B5" s="14" t="s">
        <v>21</v>
      </c>
      <c r="C5" s="14" t="s">
        <v>22</v>
      </c>
      <c r="D5" s="15">
        <v>1000</v>
      </c>
      <c r="E5" s="15"/>
      <c r="F5" s="14"/>
      <c r="H5" s="8"/>
      <c r="I5" s="10" t="s">
        <v>23</v>
      </c>
      <c r="J5" s="10" t="s">
        <v>24</v>
      </c>
      <c r="K5" s="11">
        <v>20000</v>
      </c>
      <c r="L5" s="12"/>
      <c r="M5" s="10" t="s">
        <v>25</v>
      </c>
    </row>
    <row r="6" s="1" customFormat="1" ht="43" customHeight="1" spans="1:13">
      <c r="A6" s="13"/>
      <c r="B6" s="14" t="s">
        <v>26</v>
      </c>
      <c r="C6" s="14" t="s">
        <v>27</v>
      </c>
      <c r="D6" s="15">
        <v>5000</v>
      </c>
      <c r="E6" s="15"/>
      <c r="F6" s="14" t="s">
        <v>28</v>
      </c>
      <c r="H6" s="8"/>
      <c r="I6" s="10" t="s">
        <v>29</v>
      </c>
      <c r="J6" s="10" t="s">
        <v>30</v>
      </c>
      <c r="K6" s="11">
        <v>4000</v>
      </c>
      <c r="L6" s="12"/>
      <c r="M6" s="10" t="s">
        <v>31</v>
      </c>
    </row>
    <row r="7" s="1" customFormat="1" ht="27" customHeight="1" spans="1:13">
      <c r="A7" s="13"/>
      <c r="B7" s="14" t="s">
        <v>23</v>
      </c>
      <c r="C7" s="14"/>
      <c r="D7" s="15">
        <v>20000</v>
      </c>
      <c r="E7" s="15"/>
      <c r="F7" s="14"/>
      <c r="H7" s="10"/>
      <c r="I7" s="8" t="s">
        <v>32</v>
      </c>
      <c r="J7" s="10" t="s">
        <v>33</v>
      </c>
      <c r="K7" s="16">
        <f>SUM(K3:K6)</f>
        <v>30000</v>
      </c>
      <c r="L7" s="17"/>
      <c r="M7" s="10" t="s">
        <v>34</v>
      </c>
    </row>
    <row r="8" s="1" customFormat="1" ht="43" customHeight="1" spans="1:13">
      <c r="A8" s="13"/>
      <c r="B8" s="14" t="s">
        <v>29</v>
      </c>
      <c r="C8" s="14"/>
      <c r="D8" s="15">
        <v>4000</v>
      </c>
      <c r="E8" s="15"/>
      <c r="F8" s="14"/>
      <c r="H8" s="8" t="s">
        <v>35</v>
      </c>
      <c r="I8" s="10" t="s">
        <v>36</v>
      </c>
      <c r="J8" s="10" t="s">
        <v>37</v>
      </c>
      <c r="K8" s="18">
        <v>25000</v>
      </c>
      <c r="L8" s="18">
        <v>25000</v>
      </c>
      <c r="M8" s="10" t="s">
        <v>38</v>
      </c>
    </row>
    <row r="9" s="1" customFormat="1" ht="43" customHeight="1" spans="1:13">
      <c r="A9" s="13"/>
      <c r="B9" s="19" t="s">
        <v>39</v>
      </c>
      <c r="C9" s="19"/>
      <c r="D9" s="19"/>
      <c r="E9" s="19"/>
      <c r="F9" s="19"/>
      <c r="H9" s="8"/>
      <c r="I9" s="10" t="s">
        <v>40</v>
      </c>
      <c r="J9" s="10" t="s">
        <v>41</v>
      </c>
      <c r="K9" s="18">
        <v>81000</v>
      </c>
      <c r="L9" s="20">
        <v>20000</v>
      </c>
      <c r="M9" s="10" t="s">
        <v>42</v>
      </c>
    </row>
    <row r="10" ht="43" customHeight="1" spans="1:13">
      <c r="A10" s="10" t="s">
        <v>43</v>
      </c>
      <c r="B10" s="21" t="s">
        <v>44</v>
      </c>
      <c r="C10" s="22" t="s">
        <v>45</v>
      </c>
      <c r="D10" s="21">
        <v>25000</v>
      </c>
      <c r="E10" s="21">
        <v>25000</v>
      </c>
      <c r="F10" s="22"/>
      <c r="H10" s="8"/>
      <c r="I10" s="10"/>
      <c r="J10" s="10"/>
      <c r="K10" s="18"/>
      <c r="L10" s="20"/>
      <c r="M10" s="10" t="s">
        <v>46</v>
      </c>
    </row>
    <row r="11" ht="43" customHeight="1" spans="1:13">
      <c r="A11" s="10"/>
      <c r="B11" s="23" t="s">
        <v>47</v>
      </c>
      <c r="C11" s="24" t="s">
        <v>48</v>
      </c>
      <c r="D11" s="25">
        <v>81000</v>
      </c>
      <c r="E11" s="26">
        <v>15600</v>
      </c>
      <c r="F11" s="27" t="s">
        <v>49</v>
      </c>
      <c r="H11" s="8"/>
      <c r="I11" s="10" t="s">
        <v>50</v>
      </c>
      <c r="J11" s="10" t="s">
        <v>51</v>
      </c>
      <c r="K11" s="18">
        <v>50000</v>
      </c>
      <c r="L11" s="20">
        <v>30000</v>
      </c>
      <c r="M11" s="10" t="s">
        <v>52</v>
      </c>
    </row>
    <row r="12" ht="43" customHeight="1" spans="1:13">
      <c r="A12" s="10"/>
      <c r="B12" s="25"/>
      <c r="C12" s="24" t="s">
        <v>53</v>
      </c>
      <c r="D12" s="25"/>
      <c r="E12" s="26"/>
      <c r="F12" s="27" t="s">
        <v>54</v>
      </c>
      <c r="H12" s="8"/>
      <c r="I12" s="10" t="s">
        <v>55</v>
      </c>
      <c r="J12" s="10" t="s">
        <v>56</v>
      </c>
      <c r="K12" s="18">
        <v>8460</v>
      </c>
      <c r="L12" s="20">
        <v>1500</v>
      </c>
      <c r="M12" s="10" t="s">
        <v>57</v>
      </c>
    </row>
    <row r="13" ht="27" customHeight="1" spans="1:13">
      <c r="A13" s="10"/>
      <c r="B13" s="25" t="s">
        <v>58</v>
      </c>
      <c r="C13" s="24" t="s">
        <v>59</v>
      </c>
      <c r="D13" s="25">
        <v>50000</v>
      </c>
      <c r="E13" s="25">
        <v>30000</v>
      </c>
      <c r="F13" s="28" t="s">
        <v>60</v>
      </c>
      <c r="H13" s="8"/>
      <c r="I13" s="8" t="s">
        <v>61</v>
      </c>
      <c r="J13" s="10" t="s">
        <v>33</v>
      </c>
      <c r="K13" s="29">
        <f>SUM(K8:K12)</f>
        <v>164460</v>
      </c>
      <c r="L13" s="29">
        <f>SUM(L8:L12)</f>
        <v>76500</v>
      </c>
      <c r="M13" s="10" t="s">
        <v>62</v>
      </c>
    </row>
    <row r="14" ht="43" customHeight="1" spans="1:13">
      <c r="A14" s="10"/>
      <c r="B14" s="30" t="s">
        <v>63</v>
      </c>
      <c r="C14" s="30" t="s">
        <v>64</v>
      </c>
      <c r="D14" s="30">
        <v>8460</v>
      </c>
      <c r="E14" s="30">
        <v>1500</v>
      </c>
      <c r="F14" s="30" t="s">
        <v>65</v>
      </c>
      <c r="H14" s="8" t="s">
        <v>66</v>
      </c>
      <c r="I14" s="10" t="s">
        <v>67</v>
      </c>
      <c r="J14" s="10" t="s">
        <v>68</v>
      </c>
      <c r="K14" s="18">
        <v>20000</v>
      </c>
      <c r="L14" s="18">
        <v>20000</v>
      </c>
      <c r="M14" s="10" t="s">
        <v>69</v>
      </c>
    </row>
    <row r="15" ht="43" customHeight="1" spans="1:13">
      <c r="A15" s="10"/>
      <c r="B15" s="31" t="s">
        <v>70</v>
      </c>
      <c r="C15" s="31"/>
      <c r="D15" s="19">
        <f>SUM(D10:D14)</f>
        <v>164460</v>
      </c>
      <c r="E15" s="19">
        <f>SUM(E10:E14)</f>
        <v>72100</v>
      </c>
      <c r="F15" s="19"/>
      <c r="H15" s="8"/>
      <c r="I15" s="10" t="s">
        <v>71</v>
      </c>
      <c r="J15" s="10" t="s">
        <v>72</v>
      </c>
      <c r="K15" s="18">
        <v>2000</v>
      </c>
      <c r="L15" s="18">
        <v>2000</v>
      </c>
      <c r="M15" s="10" t="s">
        <v>73</v>
      </c>
    </row>
    <row r="16" ht="43" customHeight="1" spans="1:13">
      <c r="A16" s="10" t="s">
        <v>74</v>
      </c>
      <c r="B16" s="25" t="s">
        <v>75</v>
      </c>
      <c r="C16" s="22" t="s">
        <v>76</v>
      </c>
      <c r="D16" s="25">
        <v>20000</v>
      </c>
      <c r="E16" s="25">
        <v>20000</v>
      </c>
      <c r="F16" s="28" t="s">
        <v>77</v>
      </c>
      <c r="H16" s="8"/>
      <c r="I16" s="10" t="s">
        <v>78</v>
      </c>
      <c r="J16" s="10" t="s">
        <v>79</v>
      </c>
      <c r="K16" s="18">
        <v>60990</v>
      </c>
      <c r="L16" s="18">
        <v>0</v>
      </c>
      <c r="M16" s="10" t="s">
        <v>80</v>
      </c>
    </row>
    <row r="17" ht="43" customHeight="1" spans="1:13">
      <c r="A17" s="10"/>
      <c r="B17" s="25"/>
      <c r="C17" s="32" t="s">
        <v>71</v>
      </c>
      <c r="D17" s="25">
        <v>2000</v>
      </c>
      <c r="E17" s="25">
        <v>2000</v>
      </c>
      <c r="F17" s="28" t="s">
        <v>81</v>
      </c>
      <c r="H17" s="8"/>
      <c r="I17" s="10" t="s">
        <v>82</v>
      </c>
      <c r="J17" s="10" t="s">
        <v>83</v>
      </c>
      <c r="K17" s="18">
        <v>20000</v>
      </c>
      <c r="L17" s="20">
        <v>10000</v>
      </c>
      <c r="M17" s="10" t="s">
        <v>84</v>
      </c>
    </row>
    <row r="18" ht="43" customHeight="1" spans="1:13">
      <c r="A18" s="10"/>
      <c r="B18" s="25"/>
      <c r="C18" s="32" t="s">
        <v>85</v>
      </c>
      <c r="D18" s="25">
        <v>60990</v>
      </c>
      <c r="E18" s="25">
        <v>0</v>
      </c>
      <c r="F18" s="28" t="s">
        <v>86</v>
      </c>
      <c r="H18" s="8"/>
      <c r="I18" s="10" t="s">
        <v>87</v>
      </c>
      <c r="J18" s="10" t="s">
        <v>88</v>
      </c>
      <c r="K18" s="18">
        <v>5000</v>
      </c>
      <c r="L18" s="18">
        <v>5000</v>
      </c>
      <c r="M18" s="10" t="s">
        <v>89</v>
      </c>
    </row>
    <row r="19" ht="30" customHeight="1" spans="1:13">
      <c r="A19" s="10"/>
      <c r="B19" s="25"/>
      <c r="C19" s="32" t="s">
        <v>90</v>
      </c>
      <c r="D19" s="25">
        <v>20000</v>
      </c>
      <c r="E19" s="25">
        <v>8000</v>
      </c>
      <c r="F19" s="33"/>
      <c r="H19" s="8"/>
      <c r="I19" s="8" t="s">
        <v>91</v>
      </c>
      <c r="J19" s="10" t="s">
        <v>33</v>
      </c>
      <c r="K19" s="29">
        <f>SUM(K14:K18)</f>
        <v>107990</v>
      </c>
      <c r="L19" s="29">
        <f>SUM(L14:L18)</f>
        <v>37000</v>
      </c>
      <c r="M19" s="10" t="s">
        <v>92</v>
      </c>
    </row>
    <row r="20" ht="43" customHeight="1" spans="1:13">
      <c r="A20" s="10"/>
      <c r="B20" s="25"/>
      <c r="C20" s="34" t="s">
        <v>87</v>
      </c>
      <c r="D20" s="25">
        <v>5000</v>
      </c>
      <c r="E20" s="25">
        <v>5000</v>
      </c>
      <c r="F20" s="24" t="s">
        <v>93</v>
      </c>
      <c r="H20" s="35" t="s">
        <v>94</v>
      </c>
      <c r="I20" s="35" t="s">
        <v>95</v>
      </c>
      <c r="J20" s="36" t="s">
        <v>33</v>
      </c>
      <c r="K20" s="37">
        <f>K19+K13+K7</f>
        <v>302450</v>
      </c>
      <c r="L20" s="37">
        <f>L19+L13+K7</f>
        <v>143500</v>
      </c>
      <c r="M20" s="36" t="s">
        <v>96</v>
      </c>
    </row>
    <row r="21" ht="36" customHeight="1" spans="1:13">
      <c r="A21" s="10"/>
      <c r="B21" s="31" t="s">
        <v>70</v>
      </c>
      <c r="C21" s="31"/>
      <c r="D21" s="19">
        <f>SUM(D16:D20)</f>
        <v>107990</v>
      </c>
      <c r="E21" s="19">
        <f>SUM(E16:E20)</f>
        <v>35000</v>
      </c>
      <c r="F21" s="19"/>
    </row>
    <row r="22" ht="36" customHeight="1" spans="1:13">
      <c r="A22" s="10"/>
      <c r="B22" s="38" t="s">
        <v>97</v>
      </c>
      <c r="C22" s="38"/>
      <c r="D22" s="39">
        <f>D21+D15+30000</f>
        <v>302450</v>
      </c>
      <c r="E22" s="39">
        <f>E21+E15+30000</f>
        <v>137100</v>
      </c>
      <c r="F22" s="39"/>
    </row>
  </sheetData>
  <mergeCells count="30">
    <mergeCell ref="B1:F1"/>
    <mergeCell ref="H1:M1"/>
    <mergeCell ref="B2:F2"/>
    <mergeCell ref="K3:L3"/>
    <mergeCell ref="K4:L4"/>
    <mergeCell ref="D5:E5"/>
    <mergeCell ref="K5:L5"/>
    <mergeCell ref="D6:E6"/>
    <mergeCell ref="K6:L6"/>
    <mergeCell ref="D7:E7"/>
    <mergeCell ref="K7:L7"/>
    <mergeCell ref="D8:E8"/>
    <mergeCell ref="B9:F9"/>
    <mergeCell ref="B15:C15"/>
    <mergeCell ref="B21:C21"/>
    <mergeCell ref="B22:C22"/>
    <mergeCell ref="A5:A9"/>
    <mergeCell ref="A10:A15"/>
    <mergeCell ref="A16:A21"/>
    <mergeCell ref="B11:B12"/>
    <mergeCell ref="B16:B20"/>
    <mergeCell ref="D11:D12"/>
    <mergeCell ref="E11:E12"/>
    <mergeCell ref="H3:H6"/>
    <mergeCell ref="H8:H13"/>
    <mergeCell ref="H14:H19"/>
    <mergeCell ref="I9:I10"/>
    <mergeCell ref="J9:J10"/>
    <mergeCell ref="K9:K10"/>
    <mergeCell ref="L9:L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Y•Y•H</cp:lastModifiedBy>
  <dcterms:created xsi:type="dcterms:W3CDTF">2023-05-12T11:15:00Z</dcterms:created>
  <dcterms:modified xsi:type="dcterms:W3CDTF">2026-04-02T09:05:55Z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A0D71B5D73E64E358B6BB9D468A98457_13</vt:lpwstr>
  </property>
  <property fmtid="{D5CDD505-2E9C-101B-9397-08002B2CF9AE}" pid="4" name="CalculationRule">
    <vt:i4>0</vt:i4>
  </property>
</Properties>
</file>